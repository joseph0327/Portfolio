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Joseph\Desktop\Portfolio\Power BI images\"/>
    </mc:Choice>
  </mc:AlternateContent>
  <xr:revisionPtr revIDLastSave="0" documentId="8_{00F42878-F1B1-45D4-B91E-71F72A41152E}" xr6:coauthVersionLast="47" xr6:coauthVersionMax="47" xr10:uidLastSave="{00000000-0000-0000-0000-000000000000}"/>
  <bookViews>
    <workbookView xWindow="-108" yWindow="-108" windowWidth="23256" windowHeight="12456" activeTab="3" xr2:uid="{00000000-000D-0000-FFFF-FFFF00000000}"/>
  </bookViews>
  <sheets>
    <sheet name="Car Sales Filter" sheetId="1" r:id="rId1"/>
    <sheet name="Price Summary" sheetId="2" r:id="rId2"/>
    <sheet name="Unit Sales Summary" sheetId="3" r:id="rId3"/>
    <sheet name="DashBoard" sheetId="4" r:id="rId4"/>
  </sheets>
  <definedNames>
    <definedName name="_xlchart.v1.0" hidden="1">'Unit Sales Summary'!$B$2:$B$156</definedName>
    <definedName name="_xlchart.v1.1" hidden="1">'Unit Sales Summary'!$C$2:$C$156</definedName>
    <definedName name="_xlchart.v1.2" hidden="1">'Unit Sales Summary'!$B$2:$B$156</definedName>
    <definedName name="_xlchart.v1.3" hidden="1">'Unit Sales Summary'!$C$2:$C$156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<sst xmlns="http://schemas.openxmlformats.org/spreadsheetml/2006/main" count="975" uniqueCount="209">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</sst>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0">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[UnitCarSalesSummary.xlsx]Price Summary!PivotTable4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Summary'!$B$3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'Price Summary'!$A$4:$A$7</c:f>
              <c:strCache>
                <c:ptCount val="3"/>
                <c:pt idx="0">
                  <c:v>Mercedes-B</c:v>
                </c:pt>
                <c:pt idx="1">
                  <c:v>Porsche</c:v>
                </c:pt>
                <c:pt idx="2">
                  <c:v>Volkswagen</c:v>
                </c:pt>
              </c:strCache>
            </c:strRef>
          </c:cat>
          <c:val>
            <c:numRef>
              <c:f>'Price Summary'!$B$4:$B$7</c:f>
              <c:numCache>
                <c:formatCode>"$"#,##0.00</c:formatCode>
                <c:ptCount val="3"/>
                <c:pt idx="0">
                  <c:v>39876.555555555555</c:v>
                </c:pt>
                <c:pt idx="1">
                  <c:v>56475</c:v>
                </c:pt>
                <c:pt idx="2">
                  <c:v>13951.833333333334</c:v>
                </c:pt>
              </c:numCache>
            </c:numRef>
          </c:val>
          <c:extLst>
            <c:ext xmlns:c16="http://schemas.microsoft.com/office/drawing/2014/chart" uri="{C3380CC4-5D6E-409C-BE32-E72D297353CC}">
              <c16:uniqueId val="{00000000-FB54-473E-89B8-A467352A60F0}"/>
            </c:ext>
          </c:extLst>
        </c:ser>
        <c:ser>
          <c:idx val="1"/>
          <c:order val="1"/>
          <c:tx>
            <c:strRef>
              <c:f>'Price Summary'!$C$3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'Price Summary'!$A$4:$A$7</c:f>
              <c:strCache>
                <c:ptCount val="3"/>
                <c:pt idx="0">
                  <c:v>Mercedes-B</c:v>
                </c:pt>
                <c:pt idx="1">
                  <c:v>Porsche</c:v>
                </c:pt>
                <c:pt idx="2">
                  <c:v>Volkswagen</c:v>
                </c:pt>
              </c:strCache>
            </c:strRef>
          </c:cat>
          <c:val>
            <c:numRef>
              <c:f>'Price Summary'!$C$4:$C$7</c:f>
              <c:numCache>
                <c:formatCode>"$"#,##0.00</c:formatCode>
                <c:ptCount val="3"/>
                <c:pt idx="0">
                  <c:v>52916.666666666664</c:v>
                </c:pt>
                <c:pt idx="1">
                  <c:v>62473.333333333336</c:v>
                </c:pt>
                <c:pt idx="2">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Sales Summary'!$M$1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'Unit Sales Summary'!$B$2:$B$156</c:f>
              <c:strCache>
                <c:ptCount val="3"/>
                <c:pt idx="0">
                  <c:v>Celica</c:v>
                </c:pt>
                <c:pt idx="1">
                  <c:v>Corolla</c:v>
                </c:pt>
                <c:pt idx="2">
                  <c:v>Land Cruiser</c:v>
                </c:pt>
              </c:strCache>
            </c:strRef>
          </c:cat>
          <c:val>
            <c:numRef>
              <c:f>'Unit Sales Summary'!$M$2:$M$156</c:f>
              <c:numCache>
                <c:formatCode>General</c:formatCode>
                <c:ptCount val="3"/>
                <c:pt idx="0">
                  <c:v>56.496030339999997</c:v>
                </c:pt>
                <c:pt idx="1">
                  <c:v>47.96897242</c:v>
                </c:pt>
                <c:pt idx="2">
                  <c:v>102.5289842</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 Sales Summary'!$F$1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6C99-4F0D-B424-C95584418B9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6C99-4F0D-B424-C95584418B9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6C99-4F0D-B424-C95584418B9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'Unit Sales Summary'!$B$2:$B$156</c:f>
              <c:strCache>
                <c:ptCount val="3"/>
                <c:pt idx="0">
                  <c:v>Celica</c:v>
                </c:pt>
                <c:pt idx="1">
                  <c:v>Corolla</c:v>
                </c:pt>
                <c:pt idx="2">
                  <c:v>Land Cruiser</c:v>
                </c:pt>
              </c:strCache>
            </c:strRef>
          </c:cat>
          <c:val>
            <c:numRef>
              <c:f>'Unit Sales Summary'!$F$2:$F$156</c:f>
              <c:numCache>
                <c:formatCode>0%</c:formatCode>
                <c:ptCount val="3"/>
                <c:pt idx="0">
                  <c:v>0.91525925925925922</c:v>
                </c:pt>
                <c:pt idx="1">
                  <c:v>0.76480012206286241</c:v>
                </c:pt>
                <c:pt idx="2">
                  <c:v>0.65883080729972165</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Sales Summary'!$M$1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'Unit Sales Summary'!$B$2:$B$156</c:f>
              <c:strCache>
                <c:ptCount val="3"/>
                <c:pt idx="0">
                  <c:v>Celica</c:v>
                </c:pt>
                <c:pt idx="1">
                  <c:v>Corolla</c:v>
                </c:pt>
                <c:pt idx="2">
                  <c:v>Land Cruiser</c:v>
                </c:pt>
              </c:strCache>
            </c:strRef>
          </c:cat>
          <c:val>
            <c:numRef>
              <c:f>'Unit Sales Summary'!$M$2:$M$156</c:f>
              <c:numCache>
                <c:formatCode>General</c:formatCode>
                <c:ptCount val="3"/>
                <c:pt idx="0">
                  <c:v>56.496030339999997</c:v>
                </c:pt>
                <c:pt idx="1">
                  <c:v>47.96897242</c:v>
                </c:pt>
                <c:pt idx="2">
                  <c:v>102.5289842</c:v>
                </c:pt>
              </c:numCache>
            </c:numRef>
          </c:val>
          <c:extLst>
            <c:ext xmlns:c16="http://schemas.microsoft.com/office/drawing/2014/chart" uri="{C3380CC4-5D6E-409C-BE32-E72D297353CC}">
              <c16:uniqueId val="{00000000-750F-436D-A806-5DCC52D89EA9}"/>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 Sales Summary'!$F$1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283-4471-A100-552B332E9B2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283-4471-A100-552B332E9B2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283-4471-A100-552B332E9B2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283-4471-A100-552B332E9B2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283-4471-A100-552B332E9B2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6283-4471-A100-552B332E9B2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3B71-47CE-8D4D-8B74BA86E75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3B71-47CE-8D4D-8B74BA86E75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3B71-47CE-8D4D-8B74BA86E75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'Unit Sales Summary'!$B$2:$B$156</c:f>
              <c:strCache>
                <c:ptCount val="3"/>
                <c:pt idx="0">
                  <c:v>Celica</c:v>
                </c:pt>
                <c:pt idx="1">
                  <c:v>Corolla</c:v>
                </c:pt>
                <c:pt idx="2">
                  <c:v>Land Cruiser</c:v>
                </c:pt>
              </c:strCache>
            </c:strRef>
          </c:cat>
          <c:val>
            <c:numRef>
              <c:f>'Unit Sales Summary'!$F$2:$F$156</c:f>
              <c:numCache>
                <c:formatCode>0%</c:formatCode>
                <c:ptCount val="3"/>
                <c:pt idx="0">
                  <c:v>0.91525925925925922</c:v>
                </c:pt>
                <c:pt idx="1">
                  <c:v>0.76480012206286241</c:v>
                </c:pt>
                <c:pt idx="2">
                  <c:v>0.65883080729972165</c:v>
                </c:pt>
              </c:numCache>
            </c:numRef>
          </c:val>
          <c:extLst>
            <c:ext xmlns:c16="http://schemas.microsoft.com/office/drawing/2014/chart" uri="{C3380CC4-5D6E-409C-BE32-E72D297353CC}">
              <c16:uniqueId val="{0000000C-6283-4471-A100-552B332E9B2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[UnitCarSalesSummary.xlsx]Price Summary!PivotTable4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Summary'!$B$3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'Price Summary'!$A$4:$A$7</c:f>
              <c:strCache>
                <c:ptCount val="3"/>
                <c:pt idx="0">
                  <c:v>Mercedes-B</c:v>
                </c:pt>
                <c:pt idx="1">
                  <c:v>Porsche</c:v>
                </c:pt>
                <c:pt idx="2">
                  <c:v>Volkswagen</c:v>
                </c:pt>
              </c:strCache>
            </c:strRef>
          </c:cat>
          <c:val>
            <c:numRef>
              <c:f>'Price Summary'!$B$4:$B$7</c:f>
              <c:numCache>
                <c:formatCode>"$"#,##0.00</c:formatCode>
                <c:ptCount val="3"/>
                <c:pt idx="0">
                  <c:v>39876.555555555555</c:v>
                </c:pt>
                <c:pt idx="1">
                  <c:v>56475</c:v>
                </c:pt>
                <c:pt idx="2">
                  <c:v>13951.833333333334</c:v>
                </c:pt>
              </c:numCache>
            </c:numRef>
          </c:val>
          <c:extLst>
            <c:ext xmlns:c16="http://schemas.microsoft.com/office/drawing/2014/chart" uri="{C3380CC4-5D6E-409C-BE32-E72D297353CC}">
              <c16:uniqueId val="{00000000-1E84-4C4A-B97D-96487B33D626}"/>
            </c:ext>
          </c:extLst>
        </c:ser>
        <c:ser>
          <c:idx val="1"/>
          <c:order val="1"/>
          <c:tx>
            <c:strRef>
              <c:f>'Price Summary'!$C$3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'Price Summary'!$A$4:$A$7</c:f>
              <c:strCache>
                <c:ptCount val="3"/>
                <c:pt idx="0">
                  <c:v>Mercedes-B</c:v>
                </c:pt>
                <c:pt idx="1">
                  <c:v>Porsche</c:v>
                </c:pt>
                <c:pt idx="2">
                  <c:v>Volkswagen</c:v>
                </c:pt>
              </c:strCache>
            </c:strRef>
          </c:cat>
          <c:val>
            <c:numRef>
              <c:f>'Price Summary'!$C$4:$C$7</c:f>
              <c:numCache>
                <c:formatCode>"$"#,##0.00</c:formatCode>
                <c:ptCount val="3"/>
                <c:pt idx="0">
                  <c:v>52916.666666666664</c:v>
                </c:pt>
                <c:pt idx="1">
                  <c:v>62473.333333333336</c:v>
                </c:pt>
                <c:pt idx="2">
                  <c:v>17698.333333333332</c:v>
                </c:pt>
              </c:numCache>
            </c:numRef>
          </c:val>
          <c:extLst>
            <c:ext xmlns:c16="http://schemas.microsoft.com/office/drawing/2014/chart" uri="{C3380CC4-5D6E-409C-BE32-E72D297353CC}">
              <c16:uniqueId val="{00000001-1E84-4C4A-B97D-96487B33D626}"/>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28575</xdr:colOff>
      <xdr:row>2</xdr:row>
      <xdr:rowOff>24765</xdr:rowOff>
    </xdr:from>
    <xdr:to>
      <xdr:col>13</xdr:col>
      <xdr:colOff>213360</xdr:colOff>
      <xdr:row>32</xdr:row>
      <xdr:rowOff>53340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9</xdr:row>
      <xdr:rowOff>76200</xdr:rowOff>
    </xdr:from>
    <xdr:to>
      <xdr:col>1</xdr:col>
      <xdr:colOff>769620</xdr:colOff>
      <xdr:row>22</xdr:row>
      <xdr:rowOff>36189</xdr:rowOff>
    </xdr:to>
    <mc:AlternateContent xmlns:mc="http://schemas.openxmlformats.org/markup-compatibility/2006">
      <mc:Choice xmlns:a14="http://schemas.microsoft.com/office/drawing/2010/main"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22860" y="1722120"/>
              <a:ext cx="1645920" cy="233742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442595</xdr:colOff>
      <xdr:row>157</xdr:row>
      <xdr:rowOff>15240</xdr:rowOff>
    </xdr:from>
    <xdr:to>
      <xdr:col>3</xdr:col>
      <xdr:colOff>694055</xdr:colOff>
      <xdr:row>170</xdr:row>
      <xdr:rowOff>167640</xdr:rowOff>
    </xdr:to>
    <mc:AlternateContent xmlns:mc="http://schemas.openxmlformats.org/markup-compatibility/2006">
      <mc:Choice xmlns:sle15="http://schemas.microsoft.com/office/drawing/2012/slicer"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1494155" y="929640"/>
              <a:ext cx="2712720" cy="252984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944245</xdr:colOff>
      <xdr:row>173</xdr:row>
      <xdr:rowOff>158750</xdr:rowOff>
    </xdr:from>
    <xdr:to>
      <xdr:col>10</xdr:col>
      <xdr:colOff>352425</xdr:colOff>
      <xdr:row>188</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174</xdr:row>
      <xdr:rowOff>10795</xdr:rowOff>
    </xdr:from>
    <xdr:to>
      <xdr:col>5</xdr:col>
      <xdr:colOff>9525</xdr:colOff>
      <xdr:row>188</xdr:row>
      <xdr:rowOff>86995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5131435"/>
              <a:ext cx="4231640" cy="263652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419100</xdr:colOff>
      <xdr:row>14</xdr:row>
      <xdr:rowOff>99060</xdr:rowOff>
    </xdr:from>
    <xdr:to>
      <xdr:col>21</xdr:col>
      <xdr:colOff>383540</xdr:colOff>
      <xdr:row>28</xdr:row>
      <xdr:rowOff>167640</xdr:rowOff>
    </xdr:to>
    <xdr:graphicFrame macro="">
      <xdr:nvGraphicFramePr>
        <xdr:cNvPr id="2" name="Chart 1">
          <a:extLst>
            <a:ext uri="{FF2B5EF4-FFF2-40B4-BE49-F238E27FC236}">
              <a16:creationId xmlns:a16="http://schemas.microsoft.com/office/drawing/2014/main" id="{E541B512-0979-40EA-99CE-EF1283B39CB3}"/>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411480</xdr:colOff>
      <xdr:row>0</xdr:row>
      <xdr:rowOff>0</xdr:rowOff>
    </xdr:from>
    <xdr:to>
      <xdr:col>21</xdr:col>
      <xdr:colOff>388620</xdr:colOff>
      <xdr:row>14</xdr:row>
      <xdr:rowOff>68580</xdr:rowOff>
    </xdr:to>
    <xdr:graphicFrame macro="">
      <xdr:nvGraphicFramePr>
        <xdr:cNvPr id="4" name="Chart 3">
          <a:extLst>
            <a:ext uri="{FF2B5EF4-FFF2-40B4-BE49-F238E27FC236}">
              <a16:creationId xmlns:a16="http://schemas.microsoft.com/office/drawing/2014/main" id="{B07D4F2B-CD1C-4B33-8EE6-EA39209AE2E4}"/>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0</xdr:row>
      <xdr:rowOff>15240</xdr:rowOff>
    </xdr:from>
    <xdr:to>
      <xdr:col>14</xdr:col>
      <xdr:colOff>388620</xdr:colOff>
      <xdr:row>14</xdr:row>
      <xdr:rowOff>91440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5DF34EF-09D1-4CB3-9261-3429105F0354}"/>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02280" y="15240"/>
              <a:ext cx="5920740" cy="263652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190500</xdr:colOff>
      <xdr:row>0</xdr:row>
      <xdr:rowOff>7620</xdr:rowOff>
    </xdr:from>
    <xdr:to>
      <xdr:col>4</xdr:col>
      <xdr:colOff>464820</xdr:colOff>
      <xdr:row>13</xdr:row>
      <xdr:rowOff>160020</xdr:rowOff>
    </xdr:to>
    <mc:AlternateContent xmlns:mc="http://schemas.openxmlformats.org/markup-compatibility/2006" xmlns:sle15="http://schemas.microsoft.com/office/drawing/2012/slicer">
      <mc:Choice Requires="sle15">
        <xdr:graphicFrame macro="">
          <xdr:nvGraphicFramePr>
            <xdr:cNvPr id="6" name="Model 1">
              <a:extLst>
                <a:ext uri="{FF2B5EF4-FFF2-40B4-BE49-F238E27FC236}">
                  <a16:creationId xmlns:a16="http://schemas.microsoft.com/office/drawing/2014/main" id="{FCF4D9CC-D271-4577-9E8C-178C6803FF58}"/>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90500" y="7620"/>
              <a:ext cx="2712720" cy="2529840"/>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182880</xdr:colOff>
      <xdr:row>14</xdr:row>
      <xdr:rowOff>91440</xdr:rowOff>
    </xdr:from>
    <xdr:to>
      <xdr:col>4</xdr:col>
      <xdr:colOff>434340</xdr:colOff>
      <xdr:row>27</xdr:row>
      <xdr:rowOff>51429</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56DDB6DC-0216-4842-B00D-53CE38021ED7}"/>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82880" y="2651760"/>
              <a:ext cx="2689860" cy="233742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571501</xdr:colOff>
      <xdr:row>14</xdr:row>
      <xdr:rowOff>106680</xdr:rowOff>
    </xdr:from>
    <xdr:to>
      <xdr:col>14</xdr:col>
      <xdr:colOff>396240</xdr:colOff>
      <xdr:row>29</xdr:row>
      <xdr:rowOff>45719</xdr:rowOff>
    </xdr:to>
    <xdr:graphicFrame macro="">
      <xdr:nvGraphicFramePr>
        <xdr:cNvPr id="8" name="Chart 7">
          <a:extLst>
            <a:ext uri="{FF2B5EF4-FFF2-40B4-BE49-F238E27FC236}">
              <a16:creationId xmlns:a16="http://schemas.microsoft.com/office/drawing/2014/main" id="{135D09C3-320C-4AB0-AED3-DB724B9E8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7"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4">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39">
      <pivotArea outline="0" collapsedLevelsAreSubtotals="1" fieldPosition="0">
        <references count="1">
          <reference field="4294967294" count="1" selected="0">
            <x v="0"/>
          </reference>
        </references>
      </pivotArea>
    </format>
    <format dxfId="38">
      <pivotArea dataOnly="0" labelOnly="1" outline="0" fieldPosition="0">
        <references count="1">
          <reference field="4294967294" count="1">
            <x v="0"/>
          </reference>
        </references>
      </pivotArea>
    </format>
    <format dxfId="37">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artItem="6"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522C32B6-28A4-445F-A92D-8AA521379DA9}"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C7CBC20-05E3-4B2A-B3A1-66F42BFBC1D1}" cache="Slicer_Model" caption="Model" startItem="2"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59" headerRowCellStyle="60% - Accent1">
  <autoFilter ref="A1:S156" xr:uid="{142A1155-8F99-4580-8274-3FFCD265F860}"/>
  <tableColumns count="19">
    <tableColumn id="2" xr3:uid="{0090DD31-AAEF-418B-A6D5-5A47F973884A}" name="Manufacturer" dataDxfId="58" dataCellStyle="60% - Accent2"/>
    <tableColumn id="1" xr3:uid="{1D457C4B-D2B8-4760-9FBD-20980339C812}" name="Model" dataDxfId="57" dataCellStyle="60% - Accent6"/>
    <tableColumn id="4" xr3:uid="{8522711B-6353-4D72-9921-4036DEB24699}" name="Unit Sales" dataDxfId="56"/>
    <tableColumn id="5" xr3:uid="{3F2EFF05-CEC1-43C4-8457-EC0A04BFE37D}" name="Price" dataDxfId="55"/>
    <tableColumn id="6" xr3:uid="{D0C7E9A3-6A78-4834-995F-71A07F7E5FEC}" name="Year Resale Value" dataDxfId="54"/>
    <tableColumn id="7" xr3:uid="{2892AE5C-2583-41F9-9297-9EA4C2895B5F}" name="Retention %" dataDxfId="53" dataCellStyle="Percent">
      <calculatedColumnFormula>SUM(E2/D2)</calculatedColumnFormula>
    </tableColumn>
    <tableColumn id="8" xr3:uid="{40A7E790-705B-474C-BD5E-B93CFDEAAD37}" name="Retention Value" dataDxfId="52" dataCellStyle="Percent">
      <calculatedColumnFormula>IF(F2&gt;69%, "GOOD", "POOR")</calculatedColumnFormula>
    </tableColumn>
    <tableColumn id="9" xr3:uid="{9FD1D782-0EB9-4AC8-9FB6-1F5437BC6100}" name="Engine Size" dataDxfId="51"/>
    <tableColumn id="10" xr3:uid="{97F7DE8D-9589-426B-AA4F-2E3F8BB7A81B}" name="Horsepower" dataDxfId="50"/>
    <tableColumn id="11" xr3:uid="{4CB9C68E-A6F1-497A-9877-E41495059145}" name="HP Level" dataDxfId="49">
      <calculatedColumnFormula array="1">_xlfn.IFS(I2&gt;299,"High HP",I2&gt;99,"Medium HP",I2&lt;100,"Low HP")</calculatedColumnFormula>
    </tableColumn>
    <tableColumn id="3" xr3:uid="{3733B2DD-D65D-439A-9EC2-28F65DC369D7}" name="Vehicle_type" dataDxfId="48"/>
    <tableColumn id="17" xr3:uid="{5136D0F0-2F8F-4D70-995F-CE39B1996127}" name="Fuel Efficiency" dataDxfId="47"/>
    <tableColumn id="19" xr3:uid="{5F133F36-F1C6-453A-A10C-A9917A623804}" name="Power Perf Factor" dataDxfId="46"/>
    <tableColumn id="12" xr3:uid="{6E551230-1170-40DA-8649-BDDA922271D8}" name="Wheelbase" dataDxfId="45"/>
    <tableColumn id="13" xr3:uid="{53A36FF3-E823-43B4-958B-9E02EC2B56F7}" name="Width" dataDxfId="44"/>
    <tableColumn id="14" xr3:uid="{0728B768-EB40-4E54-9F8B-8FC310D3272C}" name="Length" dataDxfId="43"/>
    <tableColumn id="15" xr3:uid="{2264EB11-0818-4B2A-A027-42B066FA9869}" name="Curb Weight" dataDxfId="42"/>
    <tableColumn id="16" xr3:uid="{58B24934-BE7E-4FBD-9F96-CEF0725C6117}" name="Fuel Capacity" dataDxfId="41"/>
    <tableColumn id="18" xr3:uid="{00FF364F-DDBE-4E2C-8F3E-DBDA321FA22A}" name="Latest Launch" dataDxfId="40"/>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35" headerRowCellStyle="60% - Accent1">
  <autoFilter ref="A1:S156" xr:uid="{142A1155-8F99-4580-8274-3FFCD265F860}">
    <filterColumn colId="0">
      <filters>
        <filter val="Toyota"/>
      </filters>
    </filterColumn>
    <filterColumn colId="1">
      <filters>
        <filter val="Celica"/>
        <filter val="Corolla"/>
        <filter val="Land Cruiser"/>
      </filters>
    </filterColumn>
  </autoFilter>
  <sortState xmlns:xlrd2="http://schemas.microsoft.com/office/spreadsheetml/2017/richdata2" ref="A2:N156">
    <sortCondition ref="B1:B156"/>
  </sortState>
  <tableColumns count="19">
    <tableColumn id="2" xr3:uid="{CCFD9DCD-33DA-4C1C-B39D-1F8C0CA940C0}" name="Manufacturer" dataDxfId="34" dataCellStyle="60% - Accent2"/>
    <tableColumn id="1" xr3:uid="{91732ACF-B59B-4736-A06E-BE7ADB4669C2}" name="Model" dataDxfId="33" dataCellStyle="60% - Accent6"/>
    <tableColumn id="4" xr3:uid="{AC38EB39-9FE7-4815-9A95-BD4739621249}" name="Unit Sales" dataDxfId="32"/>
    <tableColumn id="5" xr3:uid="{48155666-2FFE-4435-98FA-77A71F62A4CD}" name="Price" dataDxfId="31"/>
    <tableColumn id="6" xr3:uid="{E6C9B305-43C4-4AA9-AF99-52F226A2A489}" name="Year Resale Value" dataDxfId="30"/>
    <tableColumn id="7" xr3:uid="{53AB75B2-B4C7-4B08-A310-E333B5D08F1E}" name="Retention %" dataDxfId="29" dataCellStyle="Percent">
      <calculatedColumnFormula>SUM(E2/D2)</calculatedColumnFormula>
    </tableColumn>
    <tableColumn id="8" xr3:uid="{14C0ED08-C800-44FC-AEFF-AD4CB3BA4CE3}" name="Retention Value" dataDxfId="28" dataCellStyle="Percent">
      <calculatedColumnFormula>IF(F2&gt;69%, "GOOD", "POOR")</calculatedColumnFormula>
    </tableColumn>
    <tableColumn id="9" xr3:uid="{2D1C7A45-6CF4-4F66-812C-40A50CEEFE3C}" name="Engine Size" dataDxfId="27"/>
    <tableColumn id="10" xr3:uid="{6F868495-C5F3-4EB0-A931-7DB5EE263B04}" name="Horsepower" dataDxfId="26"/>
    <tableColumn id="11" xr3:uid="{21D8283C-331B-4FBC-ADCB-511EC8FEEA5B}" name="HP Level" dataDxfId="25">
      <calculatedColumnFormula array="1">_xlfn.IFS(I2&gt;299,"High HP",I2&gt;99,"Medium HP",I2&lt;100,"Low HP")</calculatedColumnFormula>
    </tableColumn>
    <tableColumn id="3" xr3:uid="{D8DD2294-3DBB-4222-BDE1-25B41E8C6E23}" name="Vehicle_type" dataDxfId="24"/>
    <tableColumn id="17" xr3:uid="{41974CDD-17C2-4811-8CA1-4FE62EF36874}" name="Fuel Efficiency" dataDxfId="23"/>
    <tableColumn id="19" xr3:uid="{FF974689-EC10-4BD7-931E-F6D2FC8A04BB}" name="Power Perf Factor" dataDxfId="22"/>
    <tableColumn id="16" xr3:uid="{A47D6D7B-55BF-4939-8425-7A7DC0E408AE}" name="Fuel Capacity" dataDxfId="21"/>
    <tableColumn id="12" xr3:uid="{59E0B2CA-E73A-4CDD-A62F-F1A4C75E90F7}" name="Wheelbase" dataDxfId="20"/>
    <tableColumn id="13" xr3:uid="{1318511A-327E-4603-9CFA-8A67BC21BEB8}" name="Width" dataDxfId="19"/>
    <tableColumn id="14" xr3:uid="{B48108FE-8EF4-43AB-ACEA-F7B30A9D3C55}" name="Length" dataDxfId="18"/>
    <tableColumn id="15" xr3:uid="{1C70CD07-6AE4-4D29-95C6-1D02DF8772F3}" name="Curb Weight" dataDxfId="17"/>
    <tableColumn id="18" xr3:uid="{801588FA-173B-403F-BAF7-D1F66FFF62EA}" name="Latest Launch" dataDxfId="16"/>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142"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15" priority="3" operator="containsText" text="POOR">
      <formula>NOT(ISERROR(SEARCH("POOR",G2)))</formula>
    </cfRule>
    <cfRule type="containsText" dxfId="14"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77734375" defaultRowHeight="14.4" x14ac:dyDescent="0.3"/>
  <cols>
    <col min="1" max="1" width="13.109375" bestFit="1" customWidth="1"/>
    <col min="2" max="2" width="25.6640625" style="17" bestFit="1" customWidth="1"/>
    <col min="3" max="3" width="14.777343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129</v>
      </c>
      <c r="B4" s="17">
        <v>39876.555555555555</v>
      </c>
      <c r="C4" s="17">
        <v>52916.666666666664</v>
      </c>
    </row>
    <row r="5" spans="1:3" x14ac:dyDescent="0.3">
      <c r="A5" s="16" t="s">
        <v>165</v>
      </c>
      <c r="B5" s="17">
        <v>56475</v>
      </c>
      <c r="C5" s="17">
        <v>62473.333333333336</v>
      </c>
    </row>
    <row r="6" spans="1:3" x14ac:dyDescent="0.3">
      <c r="A6" s="16" t="s">
        <v>191</v>
      </c>
      <c r="B6" s="17">
        <v>13951.833333333334</v>
      </c>
      <c r="C6" s="17">
        <v>17698.333333333332</v>
      </c>
    </row>
    <row r="7" spans="1:3" x14ac:dyDescent="0.3">
      <c r="A7" s="16" t="s">
        <v>208</v>
      </c>
      <c r="B7" s="17">
        <v>34001.388888888891</v>
      </c>
      <c r="C7" s="17">
        <v>42770</v>
      </c>
    </row>
    <row r="8" spans="1:3" x14ac:dyDescent="0.3">
      <c r="B8"/>
      <c r="C8"/>
    </row>
    <row r="9" spans="1:3" x14ac:dyDescent="0.3">
      <c r="B9"/>
      <c r="C9"/>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63" zoomScaleNormal="100" workbookViewId="0">
      <selection activeCell="L167" sqref="L167:M167"/>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hidden="1"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hidden="1"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3" priority="1" operator="containsText" text="POOR">
      <formula>NOT(ISERROR(SEARCH("POOR",G2)))</formula>
    </cfRule>
    <cfRule type="containsText" dxfId="12"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9FDD0-4B13-4CD6-BA2A-5A81BD0A12FC}">
  <dimension ref="A1"/>
  <sheetViews>
    <sheetView showGridLines="0" showRowColHeaders="0" tabSelected="1" zoomScaleNormal="100" workbookViewId="0">
      <selection activeCell="W17" sqref="W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 Sales Filter</vt:lpstr>
      <vt:lpstr>Price Summary</vt:lpstr>
      <vt:lpstr>Unit Sales Summary</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Joseph Villarin</cp:lastModifiedBy>
  <cp:revision/>
  <dcterms:created xsi:type="dcterms:W3CDTF">2020-05-21T14:49:04Z</dcterms:created>
  <dcterms:modified xsi:type="dcterms:W3CDTF">2024-12-05T17:13:57Z</dcterms:modified>
  <cp:category/>
  <cp:contentStatus/>
</cp:coreProperties>
</file>